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 DeMaio\Documents\WPI\Thesis\CTR-Tube-Properties\data\exp1_mfg_repeatability\"/>
    </mc:Choice>
  </mc:AlternateContent>
  <xr:revisionPtr revIDLastSave="0" documentId="8_{6E09C984-CEDB-43C5-929F-249CABD12187}" xr6:coauthVersionLast="47" xr6:coauthVersionMax="47" xr10:uidLastSave="{00000000-0000-0000-0000-000000000000}"/>
  <bookViews>
    <workbookView xWindow="-120" yWindow="-120" windowWidth="38640" windowHeight="21240" xr2:uid="{5514901B-045E-418C-B716-888D0CE65A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" i="1" l="1"/>
  <c r="AC8" i="1"/>
  <c r="AB8" i="1"/>
  <c r="AA8" i="1"/>
  <c r="Z8" i="1"/>
  <c r="Y8" i="1"/>
  <c r="AC7" i="1"/>
  <c r="AB7" i="1"/>
  <c r="AA7" i="1"/>
  <c r="Z7" i="1"/>
  <c r="Y7" i="1"/>
  <c r="AC10" i="1" l="1"/>
</calcChain>
</file>

<file path=xl/sharedStrings.xml><?xml version="1.0" encoding="utf-8"?>
<sst xmlns="http://schemas.openxmlformats.org/spreadsheetml/2006/main" count="19" uniqueCount="19">
  <si>
    <t>Diameter</t>
  </si>
  <si>
    <t>3.3 mm</t>
  </si>
  <si>
    <t>2.64 mm</t>
  </si>
  <si>
    <t>1.98 mm</t>
  </si>
  <si>
    <t>Tube Number</t>
  </si>
  <si>
    <t>Intended Curvature</t>
  </si>
  <si>
    <t>t+0hr</t>
  </si>
  <si>
    <t>t+0.5hr</t>
  </si>
  <si>
    <t>t+1hr</t>
  </si>
  <si>
    <t>NaN</t>
  </si>
  <si>
    <t>t+1.5hr</t>
  </si>
  <si>
    <t>t+2hr</t>
  </si>
  <si>
    <t>t+4hr</t>
  </si>
  <si>
    <t>t+24hr</t>
  </si>
  <si>
    <t>t+48hr</t>
  </si>
  <si>
    <t>`</t>
  </si>
  <si>
    <t>Time Since Removal From Mold</t>
  </si>
  <si>
    <t>Paste curvature (or radius) measurments in the 10 cells below. They will be averaged.</t>
  </si>
  <si>
    <t>In these cells, the curvature measurements are converted to radii (or vice versa).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</si>
</sst>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20" fontId="0" fillId="0" borderId="0" xfId="0" applyNumberFormat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0" xfId="0" applyBorder="1" applyAlignment="1"/>
    <xf numFmtId="0" fontId="0" fillId="0" borderId="18" xfId="0" applyBorder="1" applyAlignment="1">
      <alignment horizontal="center" vertical="center" textRotation="90" wrapText="1"/>
    </xf>
    <xf numFmtId="0" fontId="0" fillId="0" borderId="0" xfId="0" applyAlignment="1">
      <alignment horizontal="center" wrapText="1"/>
    </xf>
    <xf numFmtId="0" fontId="0" fillId="0" borderId="13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7CD96-9068-446D-825D-DC5597A39EEF}">
  <dimension ref="A1:AC13"/>
  <sheetViews>
    <sheetView tabSelected="1" workbookViewId="0">
      <selection activeCell="X24" sqref="X24"/>
    </sheetView>
  </sheetViews>
  <sheetFormatPr defaultRowHeight="15" x14ac:dyDescent="0.25"/>
  <cols>
    <col min="2" max="2" width="17.85546875" bestFit="1" customWidth="1"/>
  </cols>
  <sheetData>
    <row r="1" spans="1:29" ht="15.75" thickBot="1" x14ac:dyDescent="0.3"/>
    <row r="2" spans="1:29" x14ac:dyDescent="0.25">
      <c r="B2" s="1" t="s">
        <v>0</v>
      </c>
      <c r="C2" s="2" t="s">
        <v>1</v>
      </c>
      <c r="D2" s="3"/>
      <c r="E2" s="3"/>
      <c r="F2" s="3"/>
      <c r="G2" s="4"/>
      <c r="H2" s="2" t="s">
        <v>2</v>
      </c>
      <c r="I2" s="3"/>
      <c r="J2" s="3"/>
      <c r="K2" s="3"/>
      <c r="L2" s="4"/>
      <c r="M2" s="5" t="s">
        <v>3</v>
      </c>
      <c r="N2" s="5"/>
      <c r="O2" s="5"/>
      <c r="P2" s="5"/>
      <c r="Q2" s="6"/>
      <c r="S2" s="28"/>
      <c r="T2" s="28"/>
      <c r="U2" s="28"/>
      <c r="V2" s="28"/>
      <c r="W2" s="28"/>
      <c r="X2" s="28"/>
      <c r="Y2" s="28"/>
      <c r="Z2" s="28"/>
      <c r="AA2" s="28"/>
    </row>
    <row r="3" spans="1:29" x14ac:dyDescent="0.25">
      <c r="B3" s="7" t="s">
        <v>4</v>
      </c>
      <c r="C3" s="8">
        <v>1</v>
      </c>
      <c r="D3" s="9">
        <v>2</v>
      </c>
      <c r="E3" s="9">
        <v>3</v>
      </c>
      <c r="F3" s="9">
        <v>4</v>
      </c>
      <c r="G3" s="10">
        <v>5</v>
      </c>
      <c r="H3" s="8">
        <v>1</v>
      </c>
      <c r="I3" s="9">
        <v>2</v>
      </c>
      <c r="J3" s="9">
        <v>3</v>
      </c>
      <c r="K3" s="9">
        <v>4</v>
      </c>
      <c r="L3" s="10">
        <v>5</v>
      </c>
      <c r="M3" s="9">
        <v>1</v>
      </c>
      <c r="N3" s="9">
        <v>2</v>
      </c>
      <c r="O3" s="9">
        <v>3</v>
      </c>
      <c r="P3" s="9">
        <v>4</v>
      </c>
      <c r="Q3" s="10">
        <v>5</v>
      </c>
    </row>
    <row r="4" spans="1:29" x14ac:dyDescent="0.25">
      <c r="B4" s="11" t="s">
        <v>5</v>
      </c>
      <c r="C4" s="12">
        <v>20</v>
      </c>
      <c r="D4" s="13">
        <v>20</v>
      </c>
      <c r="E4" s="9">
        <v>20</v>
      </c>
      <c r="F4" s="13">
        <v>20</v>
      </c>
      <c r="G4" s="14">
        <v>20</v>
      </c>
      <c r="H4" s="12">
        <v>20</v>
      </c>
      <c r="I4" s="13">
        <v>20</v>
      </c>
      <c r="J4" s="9">
        <v>20</v>
      </c>
      <c r="K4" s="13">
        <v>20</v>
      </c>
      <c r="L4" s="14">
        <v>20</v>
      </c>
      <c r="M4" s="13">
        <v>20</v>
      </c>
      <c r="N4" s="13">
        <v>20</v>
      </c>
      <c r="O4" s="9">
        <v>20</v>
      </c>
      <c r="P4" s="9">
        <v>20</v>
      </c>
      <c r="Q4" s="10">
        <v>20</v>
      </c>
    </row>
    <row r="5" spans="1:29" x14ac:dyDescent="0.25">
      <c r="A5" s="29" t="s">
        <v>16</v>
      </c>
      <c r="B5" s="15" t="s">
        <v>6</v>
      </c>
      <c r="C5" s="16">
        <v>17.307780000000001</v>
      </c>
      <c r="D5">
        <v>18.055979999999998</v>
      </c>
      <c r="E5" s="17">
        <v>17.62079</v>
      </c>
      <c r="F5">
        <v>16.819970000000001</v>
      </c>
      <c r="G5" s="18">
        <v>16.818490000000004</v>
      </c>
      <c r="H5" s="16">
        <v>17.454149999999998</v>
      </c>
      <c r="I5">
        <v>18.446069999999999</v>
      </c>
      <c r="J5" s="17">
        <v>18.211337499999999</v>
      </c>
      <c r="K5">
        <v>17.024699999999999</v>
      </c>
      <c r="L5" s="18">
        <v>16.927849999999999</v>
      </c>
      <c r="M5">
        <v>17.124670000000002</v>
      </c>
      <c r="N5">
        <v>18.69455</v>
      </c>
      <c r="O5">
        <v>18.37444</v>
      </c>
      <c r="P5">
        <v>16.491959999999999</v>
      </c>
      <c r="Q5" s="18">
        <v>17.038209999999999</v>
      </c>
      <c r="S5" s="30" t="s">
        <v>17</v>
      </c>
      <c r="T5" s="30"/>
      <c r="U5" s="30"/>
      <c r="V5" s="30"/>
      <c r="W5" s="30"/>
      <c r="Y5" s="30" t="s">
        <v>18</v>
      </c>
      <c r="Z5" s="30"/>
      <c r="AA5" s="30"/>
      <c r="AB5" s="30"/>
      <c r="AC5" s="30"/>
    </row>
    <row r="6" spans="1:29" x14ac:dyDescent="0.25">
      <c r="A6" s="29"/>
      <c r="B6" s="15" t="s">
        <v>7</v>
      </c>
      <c r="C6" s="16">
        <v>13.928380000000001</v>
      </c>
      <c r="D6">
        <v>15.097990000000001</v>
      </c>
      <c r="E6">
        <v>14.17737</v>
      </c>
      <c r="F6">
        <v>14.067410000000001</v>
      </c>
      <c r="G6" s="18">
        <v>12.885289999999998</v>
      </c>
      <c r="H6" s="16">
        <v>14.386389999999997</v>
      </c>
      <c r="I6">
        <v>15.38363</v>
      </c>
      <c r="J6">
        <v>14.573540000000003</v>
      </c>
      <c r="K6">
        <v>13.373159999999999</v>
      </c>
      <c r="L6" s="18">
        <v>14.02309</v>
      </c>
      <c r="M6">
        <v>15.450060000000002</v>
      </c>
      <c r="N6">
        <v>14.831710000000001</v>
      </c>
      <c r="O6">
        <v>16.86129</v>
      </c>
      <c r="P6">
        <v>13.405850000000001</v>
      </c>
      <c r="Q6" s="18">
        <v>14.023480000000001</v>
      </c>
      <c r="S6" s="31"/>
      <c r="T6" s="31"/>
      <c r="U6" s="31"/>
      <c r="V6" s="31"/>
      <c r="W6" s="31"/>
      <c r="Y6" s="30"/>
      <c r="Z6" s="30"/>
      <c r="AA6" s="30"/>
      <c r="AB6" s="30"/>
      <c r="AC6" s="30"/>
    </row>
    <row r="7" spans="1:29" x14ac:dyDescent="0.25">
      <c r="A7" s="29"/>
      <c r="B7" s="15" t="s">
        <v>8</v>
      </c>
      <c r="C7" s="16">
        <v>13.524509999999998</v>
      </c>
      <c r="D7">
        <v>14.518549999999999</v>
      </c>
      <c r="E7">
        <v>13.350469999999998</v>
      </c>
      <c r="F7">
        <v>13.372630000000001</v>
      </c>
      <c r="G7" s="18">
        <v>12.099680000000001</v>
      </c>
      <c r="H7" s="16" t="s">
        <v>9</v>
      </c>
      <c r="I7">
        <v>14.81256</v>
      </c>
      <c r="J7">
        <v>13.875399999999999</v>
      </c>
      <c r="K7">
        <v>12.543140000000001</v>
      </c>
      <c r="L7" s="18">
        <v>13.298970000000001</v>
      </c>
      <c r="M7">
        <v>14.563030000000001</v>
      </c>
      <c r="N7">
        <v>14.658160000000001</v>
      </c>
      <c r="O7">
        <v>16.743749999999999</v>
      </c>
      <c r="P7">
        <v>12.483169999999998</v>
      </c>
      <c r="Q7" s="18">
        <v>13.23512</v>
      </c>
      <c r="S7" s="19"/>
      <c r="T7" s="17"/>
      <c r="U7" s="17"/>
      <c r="V7" s="17"/>
      <c r="W7" s="20"/>
      <c r="Y7" t="e">
        <f>1000/S7</f>
        <v>#DIV/0!</v>
      </c>
      <c r="Z7" t="e">
        <f t="shared" ref="Z7:AA8" si="0">1000/T7</f>
        <v>#DIV/0!</v>
      </c>
      <c r="AA7" t="e">
        <f t="shared" si="0"/>
        <v>#DIV/0!</v>
      </c>
      <c r="AB7" t="e">
        <f>1000/V7</f>
        <v>#DIV/0!</v>
      </c>
      <c r="AC7" t="e">
        <f>1000/W7</f>
        <v>#DIV/0!</v>
      </c>
    </row>
    <row r="8" spans="1:29" x14ac:dyDescent="0.25">
      <c r="A8" s="29"/>
      <c r="B8" s="15" t="s">
        <v>10</v>
      </c>
      <c r="C8" s="16">
        <v>13.191509999999999</v>
      </c>
      <c r="D8">
        <v>14.02515</v>
      </c>
      <c r="E8">
        <v>12.9556</v>
      </c>
      <c r="F8">
        <v>13.01089</v>
      </c>
      <c r="G8" s="18">
        <v>11.584619999999999</v>
      </c>
      <c r="H8" s="16">
        <v>13.291709999999998</v>
      </c>
      <c r="I8">
        <v>14.603759999999999</v>
      </c>
      <c r="J8">
        <v>13.564909999999998</v>
      </c>
      <c r="K8">
        <v>12.086510000000001</v>
      </c>
      <c r="L8" s="18">
        <v>12.8246</v>
      </c>
      <c r="M8">
        <v>14.094239999999999</v>
      </c>
      <c r="N8">
        <v>14.011649999999999</v>
      </c>
      <c r="O8">
        <v>16.42812</v>
      </c>
      <c r="P8">
        <v>11.89451</v>
      </c>
      <c r="Q8" s="18">
        <v>12.684560000000001</v>
      </c>
      <c r="S8" s="21"/>
      <c r="T8" s="13"/>
      <c r="U8" s="13"/>
      <c r="V8" s="13"/>
      <c r="W8" s="22"/>
      <c r="Y8" t="e">
        <f>1000/S8</f>
        <v>#DIV/0!</v>
      </c>
      <c r="Z8" t="e">
        <f t="shared" si="0"/>
        <v>#DIV/0!</v>
      </c>
      <c r="AA8" t="e">
        <f t="shared" si="0"/>
        <v>#DIV/0!</v>
      </c>
      <c r="AB8" t="e">
        <f>1000/V8</f>
        <v>#DIV/0!</v>
      </c>
      <c r="AC8" t="e">
        <f>1000/W8</f>
        <v>#DIV/0!</v>
      </c>
    </row>
    <row r="9" spans="1:29" x14ac:dyDescent="0.25">
      <c r="A9" s="29"/>
      <c r="B9" s="15" t="s">
        <v>11</v>
      </c>
      <c r="C9" s="16">
        <v>12.802670000000001</v>
      </c>
      <c r="D9">
        <v>13.631279999999999</v>
      </c>
      <c r="E9">
        <v>12.73062</v>
      </c>
      <c r="F9">
        <v>12.76704</v>
      </c>
      <c r="G9" s="18">
        <v>11.145809999999999</v>
      </c>
      <c r="H9" s="16">
        <v>13.005260000000002</v>
      </c>
      <c r="I9">
        <v>14.176390000000001</v>
      </c>
      <c r="J9">
        <v>13.32311</v>
      </c>
      <c r="K9">
        <v>11.76491</v>
      </c>
      <c r="L9" s="18">
        <v>12.51925</v>
      </c>
      <c r="M9">
        <v>13.956570000000003</v>
      </c>
      <c r="N9">
        <v>13.60454</v>
      </c>
      <c r="O9">
        <v>16.129088888888891</v>
      </c>
      <c r="P9">
        <v>11.6693</v>
      </c>
      <c r="Q9" s="18">
        <v>12.326550000000001</v>
      </c>
    </row>
    <row r="10" spans="1:29" x14ac:dyDescent="0.25">
      <c r="A10" s="29"/>
      <c r="B10" s="15" t="s">
        <v>12</v>
      </c>
      <c r="C10" s="16">
        <v>12.257639999999999</v>
      </c>
      <c r="D10">
        <v>13.270300000000001</v>
      </c>
      <c r="E10">
        <v>12.08258</v>
      </c>
      <c r="F10">
        <v>12.373690000000002</v>
      </c>
      <c r="G10" s="18">
        <v>10.476330000000001</v>
      </c>
      <c r="H10" s="16">
        <v>12.594739999999998</v>
      </c>
      <c r="I10">
        <v>13.852874999999999</v>
      </c>
      <c r="J10">
        <v>13.197400000000002</v>
      </c>
      <c r="K10">
        <v>11.086269999999999</v>
      </c>
      <c r="L10" s="18">
        <v>12.063930000000001</v>
      </c>
      <c r="M10">
        <v>13.4533</v>
      </c>
      <c r="N10">
        <v>12.98155</v>
      </c>
      <c r="O10">
        <v>16.1265</v>
      </c>
      <c r="P10">
        <v>10.75319</v>
      </c>
      <c r="Q10" s="18">
        <v>11.298660000000002</v>
      </c>
      <c r="W10" t="e">
        <f>AVERAGE(S7:W8)</f>
        <v>#DIV/0!</v>
      </c>
      <c r="AC10" t="e">
        <f>AVERAGE(Y7:AC8)</f>
        <v>#DIV/0!</v>
      </c>
    </row>
    <row r="11" spans="1:29" x14ac:dyDescent="0.25">
      <c r="A11" s="29"/>
      <c r="B11" s="15" t="s">
        <v>13</v>
      </c>
      <c r="C11" s="16">
        <v>10.485609999999999</v>
      </c>
      <c r="D11">
        <v>11.830830000000001</v>
      </c>
      <c r="E11">
        <v>10.438350000000002</v>
      </c>
      <c r="F11">
        <v>11.12082</v>
      </c>
      <c r="G11" s="18">
        <v>8.7366299999999981</v>
      </c>
      <c r="H11" s="16">
        <v>11.076049999999999</v>
      </c>
      <c r="I11">
        <v>12.85178</v>
      </c>
      <c r="J11">
        <v>11.474139999999998</v>
      </c>
      <c r="K11">
        <v>9.2315799999999992</v>
      </c>
      <c r="L11" s="18">
        <v>11.131549999999999</v>
      </c>
      <c r="M11">
        <v>13.179080000000003</v>
      </c>
      <c r="N11">
        <v>11.64981</v>
      </c>
      <c r="O11">
        <v>15.330300000000003</v>
      </c>
      <c r="P11">
        <v>8.6795700000000018</v>
      </c>
      <c r="Q11" s="18">
        <v>9.3491999999999997</v>
      </c>
    </row>
    <row r="12" spans="1:29" ht="15.75" thickBot="1" x14ac:dyDescent="0.3">
      <c r="A12" s="29"/>
      <c r="B12" s="24" t="s">
        <v>14</v>
      </c>
      <c r="C12" s="25">
        <v>10.12283</v>
      </c>
      <c r="D12" s="26">
        <v>11.481159999999999</v>
      </c>
      <c r="E12" s="26">
        <v>9.9772400000000001</v>
      </c>
      <c r="F12" s="26">
        <v>9.8039100000000001</v>
      </c>
      <c r="G12" s="27">
        <v>7.9390000000000001</v>
      </c>
      <c r="H12" s="25">
        <v>10.722320000000002</v>
      </c>
      <c r="I12" s="26">
        <v>12.268649999999999</v>
      </c>
      <c r="J12" s="26">
        <v>10.93027</v>
      </c>
      <c r="K12" s="26">
        <v>8.1797799999999992</v>
      </c>
      <c r="L12" s="27">
        <v>9.9078799999999987</v>
      </c>
      <c r="M12" s="26">
        <v>12.525049999999998</v>
      </c>
      <c r="N12" s="26">
        <v>10.720549999999999</v>
      </c>
      <c r="O12" s="26">
        <v>14.8445</v>
      </c>
      <c r="P12" s="26">
        <v>7.6075400000000002</v>
      </c>
      <c r="Q12" s="27">
        <v>8.2594999999999992</v>
      </c>
      <c r="S12" s="23"/>
    </row>
    <row r="13" spans="1:29" x14ac:dyDescent="0.25">
      <c r="V13" t="s">
        <v>15</v>
      </c>
    </row>
  </sheetData>
  <mergeCells count="6">
    <mergeCell ref="A5:A12"/>
    <mergeCell ref="S5:W6"/>
    <mergeCell ref="Y5:AC6"/>
    <mergeCell ref="C2:G2"/>
    <mergeCell ref="H2:L2"/>
    <mergeCell ref="M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DeMaio, Christopher</dc:creator>
  <cp:lastModifiedBy>DeMaio, Christopher</cp:lastModifiedBy>
  <dcterms:created xsi:type="dcterms:W3CDTF">2024-05-09T20:23:44Z</dcterms:created>
  <dcterms:modified xsi:type="dcterms:W3CDTF">2024-05-09T20:26:39Z</dcterms:modified>
</cp:coreProperties>
</file>